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Macready\PAD 2026\Planificación y Evaluación e Competencias\Sesión 4\"/>
    </mc:Choice>
  </mc:AlternateContent>
  <xr:revisionPtr revIDLastSave="0" documentId="8_{68FD2861-6155-4D18-BF2A-6725636D47C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VP - Vidas Iguales" sheetId="1" r:id="rId1"/>
    <sheet name="CAE - Vidas Iguales" sheetId="2" r:id="rId2"/>
    <sheet name="Vidas Desiguales - VP y CAE" sheetId="3" r:id="rId3"/>
    <sheet name="Instruccion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3" l="1"/>
  <c r="B18" i="3"/>
  <c r="C17" i="3"/>
  <c r="B17" i="3"/>
  <c r="C16" i="3"/>
  <c r="C19" i="3" s="1"/>
  <c r="B16" i="3"/>
  <c r="B19" i="3" s="1"/>
  <c r="B22" i="3" s="1"/>
  <c r="B19" i="2"/>
  <c r="D18" i="2"/>
  <c r="C18" i="2"/>
  <c r="B18" i="2"/>
  <c r="D17" i="2"/>
  <c r="C17" i="2"/>
  <c r="B17" i="2"/>
  <c r="D16" i="2"/>
  <c r="D19" i="2" s="1"/>
  <c r="C16" i="2"/>
  <c r="C19" i="2" s="1"/>
  <c r="B16" i="2"/>
  <c r="D20" i="1"/>
  <c r="D19" i="1"/>
  <c r="C19" i="1"/>
  <c r="B19" i="1"/>
  <c r="D18" i="1"/>
  <c r="C18" i="1"/>
  <c r="B18" i="1"/>
  <c r="B20" i="1" s="1"/>
  <c r="B23" i="1" s="1"/>
  <c r="D17" i="1"/>
  <c r="C17" i="1"/>
  <c r="C20" i="1" s="1"/>
  <c r="B17" i="1"/>
  <c r="B22" i="2" l="1"/>
</calcChain>
</file>

<file path=xl/sharedStrings.xml><?xml version="1.0" encoding="utf-8"?>
<sst xmlns="http://schemas.openxmlformats.org/spreadsheetml/2006/main" count="100" uniqueCount="65">
  <si>
    <t>PLANTILLA: VALOR PRESENTE (VP) – Alternativas con Vidas Económicas Iguales</t>
  </si>
  <si>
    <t>Economía para Ingenieros | Ingeniería Eléctrica ULA | José Maldonado</t>
  </si>
  <si>
    <t>PARÁMETROS GENERALES</t>
  </si>
  <si>
    <t>Tasa de interés (i)</t>
  </si>
  <si>
    <t>← Celda de entrada (azul/amarillo)</t>
  </si>
  <si>
    <t>Vida útil común (n) años</t>
  </si>
  <si>
    <t>DATOS DE LAS ALTERNATIVAS</t>
  </si>
  <si>
    <t>Concepto</t>
  </si>
  <si>
    <t>Alternativa A</t>
  </si>
  <si>
    <t>Alternativa B</t>
  </si>
  <si>
    <t>Alternativa C (opcional)</t>
  </si>
  <si>
    <t>Costo Inicial (P)</t>
  </si>
  <si>
    <t>Costo Anual de Operación (A)</t>
  </si>
  <si>
    <t>Valor de Salvamento (S)</t>
  </si>
  <si>
    <t>Vida útil (años)</t>
  </si>
  <si>
    <t>CÁLCULOS DE VALOR PRESENTE</t>
  </si>
  <si>
    <t>Alternativa C</t>
  </si>
  <si>
    <t>VP Costo Inicial</t>
  </si>
  <si>
    <t>VP Costos Anuales  = A × (P/A,i,n)</t>
  </si>
  <si>
    <t>VP Valor de Salvamento = S × (P/F,i,n)</t>
  </si>
  <si>
    <t>VP TOTAL (Costo Neto) = VP Inicial + VP Anual - VP Salvamento</t>
  </si>
  <si>
    <t>DECISIÓN</t>
  </si>
  <si>
    <t>Mejor alternativa (menor VP de costo)</t>
  </si>
  <si>
    <t>INSTRUCCIONES DE USO</t>
  </si>
  <si>
    <t>1. Modifique únicamente las celdas en AMARILLO (datos de entrada). Las celdas con fórmulas se calculan automáticamente.</t>
  </si>
  <si>
    <t>2. La tasa de interés y la vida útil se definen en las celdas B5 y B6. El factor (P/A) y (P/F) se calculan internamente.</t>
  </si>
  <si>
    <t>3. Se elige la alternativa con el MENOR Valor Presente de costo neto.</t>
  </si>
  <si>
    <t>4. Puede agregar una tercera alternativa en la columna D.</t>
  </si>
  <si>
    <t>PLANTILLA: COSTO ANUAL EQUIVALENTE (CAE) – Alternativas con Vidas Económicas Iguales</t>
  </si>
  <si>
    <t>CÁLCULOS DE COSTO ANUAL EQUIVALENTE (CAE)</t>
  </si>
  <si>
    <t>CA del Costo Inicial = P × (A/P,i,n)</t>
  </si>
  <si>
    <t>CA del Valor de Salvamento = S × (A/F,i,n)</t>
  </si>
  <si>
    <t>CAE TOTAL = CA Inicial + A - CA Salvamento</t>
  </si>
  <si>
    <t>Mejor alternativa (menor CAE)</t>
  </si>
  <si>
    <t>NOTA: Cuando las vidas útiles son iguales, VP y CAE conducen a la MISMA decisión.</t>
  </si>
  <si>
    <t>PLANTILLA: VP y CAE – Alternativas con Vidas Económicas DESIGUALES</t>
  </si>
  <si>
    <t>DATOS DE LAS ALTERNATIVAS (vidas diferentes)</t>
  </si>
  <si>
    <t>Vida útil (n) años</t>
  </si>
  <si>
    <t>MÉTODO RECOMENDADO PARA VIDAS DESIGUALES: COSTO ANUAL EQUIVALENTE (CAE)</t>
  </si>
  <si>
    <t>CA del Salvamento = S × (A/F,i,n)</t>
  </si>
  <si>
    <t>CAE TOTAL</t>
  </si>
  <si>
    <t>DECISIÓN (por CAE)</t>
  </si>
  <si>
    <t>Mejor alternativa</t>
  </si>
  <si>
    <t>NOTA IMPORTANTE</t>
  </si>
  <si>
    <t>Cuando las vidas útiles son DIFERENTES, el método más práctico y recomendado es el CAE (Costo Anual Equivalente),</t>
  </si>
  <si>
    <t>porque convierte todo a una base anual comparable sin necesidad de usar el mínimo común múltiplo de las vidas.</t>
  </si>
  <si>
    <t>El método de VP también se puede usar, pero requiere llevar ambas alternativas a un horizonte común (MCM de las vidas o horizonte de estudio).</t>
  </si>
  <si>
    <t>INSTRUCCIONES DE USO DE LA PLANTILLA VP y CAE</t>
  </si>
  <si>
    <t>HOJAS INCLUIDAS:</t>
  </si>
  <si>
    <t>1. VP - Vidas Iguales: Calcula el Valor Presente de costo neto cuando todas las alternativas tienen la misma vida útil.</t>
  </si>
  <si>
    <t>2. CAE - Vidas Iguales: Calcula el Costo Anual Equivalente cuando las vidas son iguales.</t>
  </si>
  <si>
    <t>3. Vidas Desiguales - VP y CAE: Usa el método CAE (recomendado) cuando las alternativas tienen distintas vidas útiles.</t>
  </si>
  <si>
    <t>CÓMO USAR:</t>
  </si>
  <si>
    <t>• Solo modifique las celdas en color AMARILLO (son las entradas). El resto se calcula automáticamente.</t>
  </si>
  <si>
    <t>• La tasa de interés se ingresa en formato decimal (ej: 0.12 para 12%).</t>
  </si>
  <si>
    <t>• Los resultados finales aparecen en color VERDE.</t>
  </si>
  <si>
    <t>• La decisión se muestra automáticamente eligiendo la alternativa de MENOR costo.</t>
  </si>
  <si>
    <t>FÓRMULAS UTILIZADAS:</t>
  </si>
  <si>
    <t>• (P/A, i, n) = [1 - (1+i)^(-n)] / i</t>
  </si>
  <si>
    <t>• (P/F, i, n) = (1+i)^(-n)</t>
  </si>
  <si>
    <t>• (A/P, i, n) = [i × (1+i)^n] / [(1+i)^n - 1]</t>
  </si>
  <si>
    <t>• (A/F, i, n) = i / [(1+i)^n - 1]</t>
  </si>
  <si>
    <t>RECOMENDACIÓN PEDAGÓGICA:</t>
  </si>
  <si>
    <t>• Pida a los estudiantes que primero resuelvan a mano o con calculadora y luego verifiquen con la plantilla.</t>
  </si>
  <si>
    <t>• Use la plantilla también para que visualicen el efecto de cambiar la tasa de interés (análisis de sensibilidad sencillo).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</si>
</sst>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i/>
      <sz val="9"/>
      <color rgb="FF666666"/>
      <name val="Arial"/>
      <family val="2"/>
    </font>
    <font>
      <b/>
      <sz val="12"/>
      <color rgb="FF1F4E79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1"/>
      <color rgb="FF00660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006600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23">
    <xf numFmtId="0" fontId="0" fillId="0" borderId="0" xfId="0"/>
    <xf numFmtId="10" fontId="5" fillId="3" borderId="0" xfId="0" applyNumberFormat="1" applyFont="1" applyFill="1"/>
    <xf numFmtId="0" fontId="2" fillId="0" borderId="0" xfId="0" applyFont="1"/>
    <xf numFmtId="1" fontId="5" fillId="3" borderId="0" xfId="0" applyNumberFormat="1" applyFont="1" applyFill="1"/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/>
    <xf numFmtId="4" fontId="8" fillId="5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/>
    <xf numFmtId="0" fontId="4" fillId="2" borderId="0" xfId="0" applyFont="1" applyFill="1"/>
    <xf numFmtId="0" fontId="0" fillId="0" borderId="0" xfId="0"/>
    <xf numFmtId="0" fontId="1" fillId="0" borderId="0" xfId="0" applyFont="1" applyAlignment="1">
      <alignment horizontal="center" vertical="center"/>
    </xf>
    <xf numFmtId="0" fontId="4" fillId="6" borderId="0" xfId="0" applyFont="1" applyFill="1"/>
    <xf numFmtId="0" fontId="8" fillId="5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9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opLeftCell="A3" workbookViewId="0">
      <selection sqref="A1:G1"/>
    </sheetView>
  </sheetViews>
  <sheetFormatPr baseColWidth="10" defaultColWidth="8.88671875" defaultRowHeight="14.4" x14ac:dyDescent="0.3"/>
  <cols>
    <col min="1" max="1" width="66.44140625" customWidth="1"/>
    <col min="2" max="3" width="18" customWidth="1"/>
    <col min="4" max="4" width="20" customWidth="1"/>
    <col min="5" max="7" width="14" customWidth="1"/>
  </cols>
  <sheetData>
    <row r="1" spans="1:7" ht="28.05" customHeight="1" x14ac:dyDescent="0.3">
      <c r="A1" s="14" t="s">
        <v>0</v>
      </c>
      <c r="B1" s="13"/>
      <c r="C1" s="13"/>
      <c r="D1" s="13"/>
      <c r="E1" s="13"/>
      <c r="F1" s="13"/>
      <c r="G1" s="13"/>
    </row>
    <row r="2" spans="1:7" x14ac:dyDescent="0.3">
      <c r="A2" s="18" t="s">
        <v>1</v>
      </c>
      <c r="B2" s="13"/>
      <c r="C2" s="13"/>
      <c r="D2" s="13"/>
      <c r="E2" s="13"/>
      <c r="F2" s="13"/>
      <c r="G2" s="13"/>
    </row>
    <row r="4" spans="1:7" x14ac:dyDescent="0.3">
      <c r="A4" s="12" t="s">
        <v>2</v>
      </c>
      <c r="B4" s="13"/>
      <c r="C4" s="13"/>
    </row>
    <row r="5" spans="1:7" x14ac:dyDescent="0.3">
      <c r="A5" t="s">
        <v>3</v>
      </c>
      <c r="B5" s="1">
        <v>0.12</v>
      </c>
      <c r="C5" s="2" t="s">
        <v>4</v>
      </c>
    </row>
    <row r="6" spans="1:7" x14ac:dyDescent="0.3">
      <c r="A6" t="s">
        <v>5</v>
      </c>
      <c r="B6" s="3">
        <v>6</v>
      </c>
    </row>
    <row r="8" spans="1:7" x14ac:dyDescent="0.3">
      <c r="A8" s="12" t="s">
        <v>6</v>
      </c>
      <c r="B8" s="13"/>
      <c r="C8" s="13"/>
      <c r="D8" s="13"/>
    </row>
    <row r="9" spans="1:7" ht="27.6" x14ac:dyDescent="0.3">
      <c r="A9" s="4" t="s">
        <v>7</v>
      </c>
      <c r="B9" s="4" t="s">
        <v>8</v>
      </c>
      <c r="C9" s="4" t="s">
        <v>9</v>
      </c>
      <c r="D9" s="4" t="s">
        <v>10</v>
      </c>
    </row>
    <row r="10" spans="1:7" x14ac:dyDescent="0.3">
      <c r="A10" s="5" t="s">
        <v>11</v>
      </c>
      <c r="B10" s="6">
        <v>12000</v>
      </c>
      <c r="C10" s="6">
        <v>18000</v>
      </c>
      <c r="D10" s="7"/>
    </row>
    <row r="11" spans="1:7" x14ac:dyDescent="0.3">
      <c r="A11" s="5" t="s">
        <v>12</v>
      </c>
      <c r="B11" s="6">
        <v>1800</v>
      </c>
      <c r="C11" s="6">
        <v>1200</v>
      </c>
      <c r="D11" s="7"/>
    </row>
    <row r="12" spans="1:7" x14ac:dyDescent="0.3">
      <c r="A12" s="5" t="s">
        <v>13</v>
      </c>
      <c r="B12" s="6">
        <v>1500</v>
      </c>
      <c r="C12" s="6">
        <v>2500</v>
      </c>
      <c r="D12" s="7"/>
    </row>
    <row r="13" spans="1:7" x14ac:dyDescent="0.3">
      <c r="A13" s="5" t="s">
        <v>14</v>
      </c>
      <c r="B13" s="6">
        <v>6</v>
      </c>
      <c r="C13" s="6">
        <v>6</v>
      </c>
      <c r="D13" s="7"/>
    </row>
    <row r="15" spans="1:7" x14ac:dyDescent="0.3">
      <c r="A15" s="12" t="s">
        <v>15</v>
      </c>
      <c r="B15" s="13"/>
      <c r="C15" s="13"/>
      <c r="D15" s="13"/>
    </row>
    <row r="16" spans="1:7" x14ac:dyDescent="0.3">
      <c r="A16" s="4" t="s">
        <v>7</v>
      </c>
      <c r="B16" s="4" t="s">
        <v>8</v>
      </c>
      <c r="C16" s="4" t="s">
        <v>9</v>
      </c>
      <c r="D16" s="4" t="s">
        <v>16</v>
      </c>
    </row>
    <row r="17" spans="1:7" x14ac:dyDescent="0.3">
      <c r="A17" s="5" t="s">
        <v>17</v>
      </c>
      <c r="B17" s="8">
        <f>B10</f>
        <v>12000</v>
      </c>
      <c r="C17" s="8">
        <f>C10</f>
        <v>18000</v>
      </c>
      <c r="D17" s="8" t="str">
        <f>IF(D10="","",D10)</f>
        <v/>
      </c>
    </row>
    <row r="18" spans="1:7" x14ac:dyDescent="0.3">
      <c r="A18" s="5" t="s">
        <v>18</v>
      </c>
      <c r="B18" s="8">
        <f>B11*((1-(1+$B$5)^(-$B$6))/$B$5)</f>
        <v>7400.5331823401903</v>
      </c>
      <c r="C18" s="8">
        <f>C11*((1-(1+$B$5)^(-$B$6))/$B$5)</f>
        <v>4933.6887882267938</v>
      </c>
      <c r="D18" s="8" t="str">
        <f>IF(D11="","",D11*((1-(1+$B$5)^(-$B$6))/$B$5))</f>
        <v/>
      </c>
    </row>
    <row r="19" spans="1:7" x14ac:dyDescent="0.3">
      <c r="A19" s="5" t="s">
        <v>19</v>
      </c>
      <c r="B19" s="8">
        <f>B12*(1+$B$5)^(-$B$6)</f>
        <v>759.946681765981</v>
      </c>
      <c r="C19" s="8">
        <f>C12*(1+$B$5)^(-$B$6)</f>
        <v>1266.5778029433018</v>
      </c>
      <c r="D19" s="8" t="str">
        <f>IF(D12="","",D12*(1+$B$5)^(-$B$6))</f>
        <v/>
      </c>
    </row>
    <row r="20" spans="1:7" x14ac:dyDescent="0.3">
      <c r="A20" s="9" t="s">
        <v>20</v>
      </c>
      <c r="B20" s="10">
        <f>B17+B18-B19</f>
        <v>18640.586500574209</v>
      </c>
      <c r="C20" s="10">
        <f>C17+C18-C19</f>
        <v>21667.110985283492</v>
      </c>
      <c r="D20" s="10" t="str">
        <f>IF(D17="","",D17+D18-D19)</f>
        <v/>
      </c>
    </row>
    <row r="22" spans="1:7" x14ac:dyDescent="0.3">
      <c r="A22" s="15" t="s">
        <v>21</v>
      </c>
      <c r="B22" s="13"/>
      <c r="C22" s="13"/>
      <c r="D22" s="13"/>
    </row>
    <row r="23" spans="1:7" x14ac:dyDescent="0.3">
      <c r="A23" t="s">
        <v>22</v>
      </c>
      <c r="B23" s="16" t="str">
        <f>IF(AND(B20&lt;&gt;"",C20&lt;&gt;""),IF(B20&lt;C20,"Alternativa A","Alternativa B"),"Complete los datos")</f>
        <v>Alternativa A</v>
      </c>
      <c r="C23" s="13"/>
      <c r="D23" s="13"/>
    </row>
    <row r="25" spans="1:7" ht="15.6" x14ac:dyDescent="0.3">
      <c r="A25" s="19" t="s">
        <v>23</v>
      </c>
      <c r="B25" s="13"/>
      <c r="C25" s="13"/>
      <c r="D25" s="13"/>
    </row>
    <row r="26" spans="1:7" x14ac:dyDescent="0.3">
      <c r="A26" s="17" t="s">
        <v>24</v>
      </c>
      <c r="B26" s="13"/>
      <c r="C26" s="13"/>
      <c r="D26" s="13"/>
      <c r="E26" s="13"/>
      <c r="F26" s="13"/>
      <c r="G26" s="13"/>
    </row>
    <row r="27" spans="1:7" x14ac:dyDescent="0.3">
      <c r="A27" s="17" t="s">
        <v>25</v>
      </c>
      <c r="B27" s="13"/>
      <c r="C27" s="13"/>
      <c r="D27" s="13"/>
      <c r="E27" s="13"/>
      <c r="F27" s="13"/>
      <c r="G27" s="13"/>
    </row>
    <row r="28" spans="1:7" x14ac:dyDescent="0.3">
      <c r="A28" s="17" t="s">
        <v>26</v>
      </c>
      <c r="B28" s="13"/>
      <c r="C28" s="13"/>
      <c r="D28" s="13"/>
      <c r="E28" s="13"/>
      <c r="F28" s="13"/>
      <c r="G28" s="13"/>
    </row>
    <row r="29" spans="1:7" x14ac:dyDescent="0.3">
      <c r="A29" s="17" t="s">
        <v>27</v>
      </c>
      <c r="B29" s="13"/>
      <c r="C29" s="13"/>
      <c r="D29" s="13"/>
      <c r="E29" s="13"/>
      <c r="F29" s="13"/>
      <c r="G29" s="13"/>
    </row>
  </sheetData>
  <mergeCells count="12">
    <mergeCell ref="A29:G29"/>
    <mergeCell ref="A4:C4"/>
    <mergeCell ref="A28:G28"/>
    <mergeCell ref="A8:D8"/>
    <mergeCell ref="A1:G1"/>
    <mergeCell ref="A22:D22"/>
    <mergeCell ref="B23:D23"/>
    <mergeCell ref="A27:G27"/>
    <mergeCell ref="A15:D15"/>
    <mergeCell ref="A26:G26"/>
    <mergeCell ref="A2:G2"/>
    <mergeCell ref="A25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48" customWidth="1"/>
    <col min="2" max="3" width="18" customWidth="1"/>
    <col min="4" max="4" width="20" customWidth="1"/>
  </cols>
  <sheetData>
    <row r="1" spans="1:7" ht="28.05" customHeight="1" x14ac:dyDescent="0.3">
      <c r="A1" s="14" t="s">
        <v>28</v>
      </c>
      <c r="B1" s="13"/>
      <c r="C1" s="13"/>
      <c r="D1" s="13"/>
      <c r="E1" s="13"/>
      <c r="F1" s="13"/>
      <c r="G1" s="13"/>
    </row>
    <row r="2" spans="1:7" x14ac:dyDescent="0.3">
      <c r="A2" s="18" t="s">
        <v>1</v>
      </c>
      <c r="B2" s="13"/>
      <c r="C2" s="13"/>
      <c r="D2" s="13"/>
      <c r="E2" s="13"/>
      <c r="F2" s="13"/>
      <c r="G2" s="13"/>
    </row>
    <row r="4" spans="1:7" x14ac:dyDescent="0.3">
      <c r="A4" s="12" t="s">
        <v>2</v>
      </c>
      <c r="B4" s="13"/>
      <c r="C4" s="13"/>
    </row>
    <row r="5" spans="1:7" x14ac:dyDescent="0.3">
      <c r="A5" t="s">
        <v>3</v>
      </c>
      <c r="B5" s="1">
        <v>0.12</v>
      </c>
    </row>
    <row r="6" spans="1:7" x14ac:dyDescent="0.3">
      <c r="A6" t="s">
        <v>5</v>
      </c>
      <c r="B6" s="11">
        <v>6</v>
      </c>
    </row>
    <row r="8" spans="1:7" x14ac:dyDescent="0.3">
      <c r="A8" s="12" t="s">
        <v>6</v>
      </c>
      <c r="B8" s="13"/>
      <c r="C8" s="13"/>
      <c r="D8" s="13"/>
    </row>
    <row r="9" spans="1:7" ht="27.6" x14ac:dyDescent="0.3">
      <c r="A9" s="4" t="s">
        <v>7</v>
      </c>
      <c r="B9" s="4" t="s">
        <v>8</v>
      </c>
      <c r="C9" s="4" t="s">
        <v>9</v>
      </c>
      <c r="D9" s="4" t="s">
        <v>10</v>
      </c>
    </row>
    <row r="10" spans="1:7" x14ac:dyDescent="0.3">
      <c r="A10" s="5" t="s">
        <v>11</v>
      </c>
      <c r="B10" s="6">
        <v>12000</v>
      </c>
      <c r="C10" s="6">
        <v>18000</v>
      </c>
      <c r="D10" s="7"/>
    </row>
    <row r="11" spans="1:7" x14ac:dyDescent="0.3">
      <c r="A11" s="5" t="s">
        <v>12</v>
      </c>
      <c r="B11" s="6">
        <v>1800</v>
      </c>
      <c r="C11" s="6">
        <v>1200</v>
      </c>
      <c r="D11" s="7"/>
    </row>
    <row r="12" spans="1:7" x14ac:dyDescent="0.3">
      <c r="A12" s="5" t="s">
        <v>13</v>
      </c>
      <c r="B12" s="6">
        <v>1500</v>
      </c>
      <c r="C12" s="6">
        <v>2500</v>
      </c>
      <c r="D12" s="7"/>
    </row>
    <row r="14" spans="1:7" x14ac:dyDescent="0.3">
      <c r="A14" s="12" t="s">
        <v>29</v>
      </c>
      <c r="B14" s="13"/>
      <c r="C14" s="13"/>
      <c r="D14" s="13"/>
    </row>
    <row r="15" spans="1:7" x14ac:dyDescent="0.3">
      <c r="A15" s="4" t="s">
        <v>7</v>
      </c>
      <c r="B15" s="4" t="s">
        <v>8</v>
      </c>
      <c r="C15" s="4" t="s">
        <v>9</v>
      </c>
      <c r="D15" s="4" t="s">
        <v>16</v>
      </c>
    </row>
    <row r="16" spans="1:7" x14ac:dyDescent="0.3">
      <c r="A16" s="5" t="s">
        <v>30</v>
      </c>
      <c r="B16" s="8">
        <f>B10*($B$5*(1+$B$5)^$B$6)/((1+$B$5)^$B$6-1)</f>
        <v>2918.7086210955504</v>
      </c>
      <c r="C16" s="8">
        <f>C10*($B$5*(1+$B$5)^$B$6)/((1+$B$5)^$B$6-1)</f>
        <v>4378.0629316433251</v>
      </c>
      <c r="D16" s="8" t="str">
        <f>IF(D10="","",D10*($B$5*(1+$B$5)^$B$6)/((1+$B$5)^$B$6-1))</f>
        <v/>
      </c>
    </row>
    <row r="17" spans="1:7" x14ac:dyDescent="0.3">
      <c r="A17" s="5" t="s">
        <v>12</v>
      </c>
      <c r="B17" s="8">
        <f>B11</f>
        <v>1800</v>
      </c>
      <c r="C17" s="8">
        <f>C11</f>
        <v>1200</v>
      </c>
      <c r="D17" s="8" t="str">
        <f>IF(D11="","",D11)</f>
        <v/>
      </c>
    </row>
    <row r="18" spans="1:7" x14ac:dyDescent="0.3">
      <c r="A18" s="5" t="s">
        <v>31</v>
      </c>
      <c r="B18" s="8">
        <f>B12*($B$5)/((1+$B$5)^$B$6-1)</f>
        <v>184.83857763694377</v>
      </c>
      <c r="C18" s="8">
        <f>C12*($B$5)/((1+$B$5)^$B$6-1)</f>
        <v>308.06429606157297</v>
      </c>
      <c r="D18" s="8" t="str">
        <f>IF(D12="","",D12*($B$5)/((1+$B$5)^$B$6-1))</f>
        <v/>
      </c>
    </row>
    <row r="19" spans="1:7" x14ac:dyDescent="0.3">
      <c r="A19" s="9" t="s">
        <v>32</v>
      </c>
      <c r="B19" s="10">
        <f>B16+B17-B18</f>
        <v>4533.8700434586062</v>
      </c>
      <c r="C19" s="10">
        <f>C16+C17-C18</f>
        <v>5269.9986355817518</v>
      </c>
      <c r="D19" s="10" t="str">
        <f>IF(D16="","",D16+D17-D18)</f>
        <v/>
      </c>
    </row>
    <row r="21" spans="1:7" x14ac:dyDescent="0.3">
      <c r="A21" s="15" t="s">
        <v>21</v>
      </c>
      <c r="B21" s="13"/>
      <c r="C21" s="13"/>
      <c r="D21" s="13"/>
    </row>
    <row r="22" spans="1:7" x14ac:dyDescent="0.3">
      <c r="A22" t="s">
        <v>33</v>
      </c>
      <c r="B22" s="16" t="str">
        <f>IF(AND(B19&lt;&gt;"",C19&lt;&gt;""),IF(B19&lt;C19,"Alternativa A","Alternativa B"),"Complete los datos")</f>
        <v>Alternativa A</v>
      </c>
      <c r="C22" s="13"/>
      <c r="D22" s="13"/>
    </row>
    <row r="24" spans="1:7" x14ac:dyDescent="0.3">
      <c r="A24" s="17" t="s">
        <v>34</v>
      </c>
      <c r="B24" s="13"/>
      <c r="C24" s="13"/>
      <c r="D24" s="13"/>
      <c r="E24" s="13"/>
      <c r="F24" s="13"/>
      <c r="G24" s="13"/>
    </row>
  </sheetData>
  <mergeCells count="8">
    <mergeCell ref="A8:D8"/>
    <mergeCell ref="A1:G1"/>
    <mergeCell ref="B22:D22"/>
    <mergeCell ref="A21:D21"/>
    <mergeCell ref="A24:G24"/>
    <mergeCell ref="A2:G2"/>
    <mergeCell ref="A4:C4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>
      <selection activeCell="B22" sqref="B22:C22"/>
    </sheetView>
  </sheetViews>
  <sheetFormatPr baseColWidth="10" defaultColWidth="8.88671875" defaultRowHeight="14.4" x14ac:dyDescent="0.3"/>
  <cols>
    <col min="1" max="1" width="48" customWidth="1"/>
    <col min="2" max="3" width="18" customWidth="1"/>
  </cols>
  <sheetData>
    <row r="1" spans="1:8" ht="28.05" customHeight="1" x14ac:dyDescent="0.3">
      <c r="A1" s="14" t="s">
        <v>35</v>
      </c>
      <c r="B1" s="13"/>
      <c r="C1" s="13"/>
      <c r="D1" s="13"/>
      <c r="E1" s="13"/>
      <c r="F1" s="13"/>
      <c r="G1" s="13"/>
      <c r="H1" s="13"/>
    </row>
    <row r="2" spans="1:8" x14ac:dyDescent="0.3">
      <c r="A2" s="18" t="s">
        <v>1</v>
      </c>
      <c r="B2" s="13"/>
      <c r="C2" s="13"/>
      <c r="D2" s="13"/>
      <c r="E2" s="13"/>
      <c r="F2" s="13"/>
      <c r="G2" s="13"/>
      <c r="H2" s="13"/>
    </row>
    <row r="4" spans="1:8" x14ac:dyDescent="0.3">
      <c r="A4" s="12" t="s">
        <v>2</v>
      </c>
      <c r="B4" s="13"/>
      <c r="C4" s="13"/>
    </row>
    <row r="5" spans="1:8" x14ac:dyDescent="0.3">
      <c r="A5" t="s">
        <v>3</v>
      </c>
      <c r="B5" s="1">
        <v>0.12</v>
      </c>
    </row>
    <row r="7" spans="1:8" x14ac:dyDescent="0.3">
      <c r="A7" s="12" t="s">
        <v>36</v>
      </c>
      <c r="B7" s="13"/>
      <c r="C7" s="13"/>
    </row>
    <row r="8" spans="1:8" x14ac:dyDescent="0.3">
      <c r="A8" s="4" t="s">
        <v>7</v>
      </c>
      <c r="B8" s="4" t="s">
        <v>8</v>
      </c>
      <c r="C8" s="4" t="s">
        <v>9</v>
      </c>
    </row>
    <row r="9" spans="1:8" x14ac:dyDescent="0.3">
      <c r="A9" s="5" t="s">
        <v>11</v>
      </c>
      <c r="B9" s="6">
        <v>12000</v>
      </c>
      <c r="C9" s="6">
        <v>18000</v>
      </c>
    </row>
    <row r="10" spans="1:8" x14ac:dyDescent="0.3">
      <c r="A10" s="5" t="s">
        <v>12</v>
      </c>
      <c r="B10" s="6">
        <v>1800</v>
      </c>
      <c r="C10" s="6">
        <v>1200</v>
      </c>
    </row>
    <row r="11" spans="1:8" x14ac:dyDescent="0.3">
      <c r="A11" s="5" t="s">
        <v>13</v>
      </c>
      <c r="B11" s="6">
        <v>1500</v>
      </c>
      <c r="C11" s="6">
        <v>2500</v>
      </c>
    </row>
    <row r="12" spans="1:8" x14ac:dyDescent="0.3">
      <c r="A12" s="5" t="s">
        <v>37</v>
      </c>
      <c r="B12" s="7">
        <v>6</v>
      </c>
      <c r="C12" s="7">
        <v>9</v>
      </c>
    </row>
    <row r="14" spans="1:8" x14ac:dyDescent="0.3">
      <c r="A14" s="12" t="s">
        <v>38</v>
      </c>
      <c r="B14" s="13"/>
      <c r="C14" s="13"/>
    </row>
    <row r="15" spans="1:8" x14ac:dyDescent="0.3">
      <c r="A15" s="4" t="s">
        <v>7</v>
      </c>
      <c r="B15" s="4" t="s">
        <v>8</v>
      </c>
      <c r="C15" s="4" t="s">
        <v>9</v>
      </c>
    </row>
    <row r="16" spans="1:8" x14ac:dyDescent="0.3">
      <c r="A16" s="5" t="s">
        <v>30</v>
      </c>
      <c r="B16" s="8">
        <f>B9*($B$5*(1+$B$5)^B12)/((1+$B$5)^B12-1)</f>
        <v>2918.7086210955504</v>
      </c>
      <c r="C16" s="8">
        <f>C9*($B$5*(1+$B$5)^C12)/((1+$B$5)^C12-1)</f>
        <v>3378.2199977998903</v>
      </c>
    </row>
    <row r="17" spans="1:8" x14ac:dyDescent="0.3">
      <c r="A17" s="5" t="s">
        <v>12</v>
      </c>
      <c r="B17" s="8">
        <f>B10</f>
        <v>1800</v>
      </c>
      <c r="C17" s="8">
        <f>C10</f>
        <v>1200</v>
      </c>
    </row>
    <row r="18" spans="1:8" x14ac:dyDescent="0.3">
      <c r="A18" s="5" t="s">
        <v>39</v>
      </c>
      <c r="B18" s="8">
        <f>B11*($B$5)/((1+$B$5)^B12-1)</f>
        <v>184.83857763694377</v>
      </c>
      <c r="C18" s="8">
        <f>C11*($B$5)/((1+$B$5)^C12-1)</f>
        <v>169.19722191665139</v>
      </c>
    </row>
    <row r="19" spans="1:8" x14ac:dyDescent="0.3">
      <c r="A19" s="9" t="s">
        <v>40</v>
      </c>
      <c r="B19" s="10">
        <f>B16+B17-B18</f>
        <v>4533.8700434586062</v>
      </c>
      <c r="C19" s="10">
        <f>C16+C17-C18</f>
        <v>4409.0227758832389</v>
      </c>
    </row>
    <row r="21" spans="1:8" x14ac:dyDescent="0.3">
      <c r="A21" s="15" t="s">
        <v>41</v>
      </c>
      <c r="B21" s="13"/>
      <c r="C21" s="13"/>
    </row>
    <row r="22" spans="1:8" x14ac:dyDescent="0.3">
      <c r="A22" t="s">
        <v>42</v>
      </c>
      <c r="B22" s="16" t="str">
        <f>IF(B19&lt;C19,"Alternativa A","Alternativa B")</f>
        <v>Alternativa B</v>
      </c>
      <c r="C22" s="13"/>
    </row>
    <row r="24" spans="1:8" ht="15.6" x14ac:dyDescent="0.3">
      <c r="A24" s="19" t="s">
        <v>43</v>
      </c>
      <c r="B24" s="13"/>
      <c r="C24" s="13"/>
    </row>
    <row r="25" spans="1:8" x14ac:dyDescent="0.3">
      <c r="A25" s="17" t="s">
        <v>44</v>
      </c>
      <c r="B25" s="13"/>
      <c r="C25" s="13"/>
      <c r="D25" s="13"/>
      <c r="E25" s="13"/>
      <c r="F25" s="13"/>
      <c r="G25" s="13"/>
      <c r="H25" s="13"/>
    </row>
    <row r="26" spans="1:8" x14ac:dyDescent="0.3">
      <c r="A26" s="17" t="s">
        <v>45</v>
      </c>
      <c r="B26" s="13"/>
      <c r="C26" s="13"/>
      <c r="D26" s="13"/>
      <c r="E26" s="13"/>
      <c r="F26" s="13"/>
      <c r="G26" s="13"/>
      <c r="H26" s="13"/>
    </row>
    <row r="27" spans="1:8" x14ac:dyDescent="0.3">
      <c r="A27" s="17" t="s">
        <v>46</v>
      </c>
      <c r="B27" s="13"/>
      <c r="C27" s="13"/>
      <c r="D27" s="13"/>
      <c r="E27" s="13"/>
      <c r="F27" s="13"/>
      <c r="G27" s="13"/>
      <c r="H27" s="13"/>
    </row>
  </sheetData>
  <mergeCells count="11">
    <mergeCell ref="A1:H1"/>
    <mergeCell ref="A4:C4"/>
    <mergeCell ref="A27:H27"/>
    <mergeCell ref="A24:C24"/>
    <mergeCell ref="A26:H26"/>
    <mergeCell ref="A25:H25"/>
    <mergeCell ref="A14:C14"/>
    <mergeCell ref="A2:H2"/>
    <mergeCell ref="B22:C22"/>
    <mergeCell ref="A7:C7"/>
    <mergeCell ref="A21:C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tabSelected="1" workbookViewId="0">
      <selection sqref="A1:B1"/>
    </sheetView>
  </sheetViews>
  <sheetFormatPr baseColWidth="10" defaultColWidth="8.88671875" defaultRowHeight="14.4" x14ac:dyDescent="0.3"/>
  <cols>
    <col min="1" max="1" width="110" customWidth="1"/>
  </cols>
  <sheetData>
    <row r="1" spans="1:2" ht="21" x14ac:dyDescent="0.4">
      <c r="A1" s="22" t="s">
        <v>47</v>
      </c>
      <c r="B1" s="13"/>
    </row>
    <row r="3" spans="1:2" x14ac:dyDescent="0.3">
      <c r="A3" s="21"/>
      <c r="B3" s="13"/>
    </row>
    <row r="4" spans="1:2" x14ac:dyDescent="0.3">
      <c r="A4" s="20" t="s">
        <v>48</v>
      </c>
      <c r="B4" s="13"/>
    </row>
    <row r="5" spans="1:2" x14ac:dyDescent="0.3">
      <c r="A5" s="21" t="s">
        <v>49</v>
      </c>
      <c r="B5" s="13"/>
    </row>
    <row r="6" spans="1:2" x14ac:dyDescent="0.3">
      <c r="A6" s="21" t="s">
        <v>50</v>
      </c>
      <c r="B6" s="13"/>
    </row>
    <row r="7" spans="1:2" x14ac:dyDescent="0.3">
      <c r="A7" s="21" t="s">
        <v>51</v>
      </c>
      <c r="B7" s="13"/>
    </row>
    <row r="8" spans="1:2" x14ac:dyDescent="0.3">
      <c r="A8" s="21"/>
      <c r="B8" s="13"/>
    </row>
    <row r="9" spans="1:2" x14ac:dyDescent="0.3">
      <c r="A9" s="20" t="s">
        <v>52</v>
      </c>
      <c r="B9" s="13"/>
    </row>
    <row r="10" spans="1:2" x14ac:dyDescent="0.3">
      <c r="A10" s="21" t="s">
        <v>53</v>
      </c>
      <c r="B10" s="13"/>
    </row>
    <row r="11" spans="1:2" x14ac:dyDescent="0.3">
      <c r="A11" s="21" t="s">
        <v>54</v>
      </c>
      <c r="B11" s="13"/>
    </row>
    <row r="12" spans="1:2" x14ac:dyDescent="0.3">
      <c r="A12" s="21" t="s">
        <v>55</v>
      </c>
      <c r="B12" s="13"/>
    </row>
    <row r="13" spans="1:2" x14ac:dyDescent="0.3">
      <c r="A13" s="21" t="s">
        <v>56</v>
      </c>
      <c r="B13" s="13"/>
    </row>
    <row r="14" spans="1:2" x14ac:dyDescent="0.3">
      <c r="A14" s="21"/>
      <c r="B14" s="13"/>
    </row>
    <row r="15" spans="1:2" x14ac:dyDescent="0.3">
      <c r="A15" s="20" t="s">
        <v>57</v>
      </c>
      <c r="B15" s="13"/>
    </row>
    <row r="16" spans="1:2" x14ac:dyDescent="0.3">
      <c r="A16" s="21" t="s">
        <v>58</v>
      </c>
      <c r="B16" s="13"/>
    </row>
    <row r="17" spans="1:2" x14ac:dyDescent="0.3">
      <c r="A17" s="21" t="s">
        <v>59</v>
      </c>
      <c r="B17" s="13"/>
    </row>
    <row r="18" spans="1:2" x14ac:dyDescent="0.3">
      <c r="A18" s="21" t="s">
        <v>60</v>
      </c>
      <c r="B18" s="13"/>
    </row>
    <row r="19" spans="1:2" x14ac:dyDescent="0.3">
      <c r="A19" s="21" t="s">
        <v>61</v>
      </c>
      <c r="B19" s="13"/>
    </row>
    <row r="20" spans="1:2" x14ac:dyDescent="0.3">
      <c r="A20" s="21"/>
      <c r="B20" s="13"/>
    </row>
    <row r="21" spans="1:2" x14ac:dyDescent="0.3">
      <c r="A21" s="20" t="s">
        <v>62</v>
      </c>
      <c r="B21" s="13"/>
    </row>
    <row r="22" spans="1:2" x14ac:dyDescent="0.3">
      <c r="A22" s="21" t="s">
        <v>63</v>
      </c>
      <c r="B22" s="13"/>
    </row>
    <row r="23" spans="1:2" x14ac:dyDescent="0.3">
      <c r="A23" s="21" t="s">
        <v>64</v>
      </c>
      <c r="B23" s="13"/>
    </row>
  </sheetData>
  <mergeCells count="22">
    <mergeCell ref="A23:B23"/>
    <mergeCell ref="A8:B8"/>
    <mergeCell ref="A22:B22"/>
    <mergeCell ref="A4:B4"/>
    <mergeCell ref="A20:B20"/>
    <mergeCell ref="A19:B19"/>
    <mergeCell ref="A10:B10"/>
    <mergeCell ref="A13:B13"/>
    <mergeCell ref="A9:B9"/>
    <mergeCell ref="A18:B18"/>
    <mergeCell ref="A3:B3"/>
    <mergeCell ref="A12:B12"/>
    <mergeCell ref="A21:B21"/>
    <mergeCell ref="A5:B5"/>
    <mergeCell ref="A14:B14"/>
    <mergeCell ref="A17:B17"/>
    <mergeCell ref="A15:B15"/>
    <mergeCell ref="A11:B11"/>
    <mergeCell ref="A1:B1"/>
    <mergeCell ref="A6:B6"/>
    <mergeCell ref="A16:B16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VP - Vidas Iguales</vt:lpstr>
      <vt:lpstr>CAE - Vidas Iguales</vt:lpstr>
      <vt:lpstr>Vidas Desiguales - VP y CAE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Macready</dc:creator>
  <cp:lastModifiedBy>jose macready maldonado torres</cp:lastModifiedBy>
  <dcterms:created xsi:type="dcterms:W3CDTF">2026-08-22T04:43:45Z</dcterms:created>
  <dcterms:modified xsi:type="dcterms:W3CDTF">2026-08-22T06:31:23Z</dcterms:modified>
</cp:coreProperties>
</file>